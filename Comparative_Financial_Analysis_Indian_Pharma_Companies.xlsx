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DASHBOARD" sheetId="1" r:id="rId1"/>
    <sheet name="Financial Data" sheetId="2" r:id="rId2"/>
    <sheet name="CALCULATIONS" sheetId="3" r:id="rId3"/>
  </sheets>
  <calcPr calcId="144525"/>
</workbook>
</file>

<file path=xl/calcChain.xml><?xml version="1.0" encoding="utf-8"?>
<calcChain xmlns="http://schemas.openxmlformats.org/spreadsheetml/2006/main">
  <c r="S5" i="1" l="1"/>
  <c r="T5" i="1"/>
  <c r="S4" i="1"/>
  <c r="T4" i="1"/>
  <c r="S3" i="1"/>
  <c r="T3" i="1"/>
  <c r="S2" i="1"/>
  <c r="T2" i="1"/>
  <c r="S4" i="3" l="1"/>
  <c r="S5" i="3"/>
  <c r="S6" i="3"/>
  <c r="S7" i="3"/>
  <c r="R4" i="3"/>
  <c r="R5" i="3"/>
  <c r="R6" i="3"/>
  <c r="R7" i="3"/>
  <c r="Q4" i="3"/>
  <c r="Q5" i="3"/>
  <c r="Q6" i="3"/>
  <c r="Q7" i="3"/>
  <c r="P4" i="3"/>
  <c r="P5" i="3"/>
  <c r="P6" i="3"/>
  <c r="P7" i="3"/>
  <c r="O4" i="3"/>
  <c r="O5" i="3"/>
  <c r="O6" i="3"/>
  <c r="O7" i="3"/>
  <c r="N4" i="3"/>
  <c r="N5" i="3"/>
  <c r="N6" i="3"/>
  <c r="N7" i="3"/>
  <c r="M4" i="3"/>
  <c r="M5" i="3"/>
  <c r="M6" i="3"/>
  <c r="M7" i="3"/>
  <c r="S3" i="3"/>
  <c r="R3" i="3"/>
  <c r="Q3" i="3"/>
  <c r="P3" i="3"/>
  <c r="O3" i="3"/>
  <c r="N3" i="3"/>
  <c r="M3" i="3"/>
  <c r="L4" i="3"/>
  <c r="L5" i="3"/>
  <c r="L6" i="3"/>
  <c r="L7" i="3"/>
  <c r="L3" i="3"/>
  <c r="K4" i="3"/>
  <c r="K5" i="3"/>
  <c r="K6" i="3"/>
  <c r="K7" i="3"/>
  <c r="K3" i="3"/>
  <c r="I4" i="3"/>
  <c r="I5" i="3"/>
  <c r="I6" i="3"/>
  <c r="I7" i="3"/>
  <c r="I3" i="3"/>
  <c r="H4" i="3"/>
  <c r="H5" i="3"/>
  <c r="H6" i="3"/>
  <c r="H7" i="3"/>
  <c r="H3" i="3"/>
  <c r="G4" i="3"/>
  <c r="G5" i="3"/>
  <c r="G6" i="3"/>
  <c r="G7" i="3"/>
  <c r="G3" i="3"/>
  <c r="G4" i="2"/>
  <c r="G5" i="2"/>
  <c r="G6" i="2"/>
  <c r="G7" i="2"/>
  <c r="G3" i="2"/>
  <c r="E4" i="2"/>
  <c r="E5" i="2"/>
  <c r="E6" i="2"/>
  <c r="E7" i="2"/>
  <c r="E3" i="2"/>
  <c r="I2" i="1" l="1"/>
  <c r="J2" i="1"/>
  <c r="D4" i="3"/>
  <c r="D5" i="3"/>
  <c r="D6" i="3"/>
  <c r="D7" i="3"/>
  <c r="D3" i="3"/>
  <c r="E4" i="3"/>
  <c r="E5" i="3"/>
  <c r="E6" i="3"/>
  <c r="E7" i="3"/>
  <c r="E3" i="3"/>
  <c r="C4" i="3"/>
  <c r="C5" i="3"/>
  <c r="C6" i="3"/>
  <c r="C7" i="3"/>
  <c r="C3" i="3"/>
  <c r="B4" i="3"/>
  <c r="B5" i="3"/>
  <c r="B6" i="3"/>
  <c r="B7" i="3"/>
  <c r="B3" i="3"/>
  <c r="O6" i="1" l="1"/>
  <c r="O5" i="1"/>
  <c r="O4" i="1"/>
  <c r="O3" i="1"/>
  <c r="O2" i="1"/>
  <c r="Q2" i="1" s="1"/>
  <c r="N6" i="1"/>
  <c r="N5" i="1"/>
  <c r="N4" i="1"/>
  <c r="N3" i="1"/>
  <c r="N2" i="1"/>
  <c r="P2" i="1" l="1"/>
  <c r="F2" i="1"/>
  <c r="F3" i="1"/>
  <c r="F4" i="1"/>
  <c r="F5" i="1"/>
  <c r="F6" i="1"/>
  <c r="G5" i="1"/>
  <c r="G6" i="1"/>
  <c r="G3" i="1"/>
  <c r="G4" i="1"/>
  <c r="G2" i="1"/>
  <c r="L2" i="1" l="1"/>
  <c r="K2" i="1"/>
</calcChain>
</file>

<file path=xl/sharedStrings.xml><?xml version="1.0" encoding="utf-8"?>
<sst xmlns="http://schemas.openxmlformats.org/spreadsheetml/2006/main" count="110" uniqueCount="101">
  <si>
    <t>Sun Pharma</t>
  </si>
  <si>
    <t>Dr Reddy's</t>
  </si>
  <si>
    <t>Cipla</t>
  </si>
  <si>
    <t>Lupin</t>
  </si>
  <si>
    <t>Aurobindo Pharma</t>
  </si>
  <si>
    <t>COMPANY</t>
  </si>
  <si>
    <t>REVENUE</t>
  </si>
  <si>
    <t>NET PROFIT</t>
  </si>
  <si>
    <t>ASSETS</t>
  </si>
  <si>
    <t>PROFIT MARGIN</t>
  </si>
  <si>
    <t>DEBT RATIO</t>
  </si>
  <si>
    <t>OTHER LIABILITIES</t>
  </si>
  <si>
    <t>Key Findings</t>
  </si>
  <si>
    <t>AVERAGE PROFIT MARGIN</t>
  </si>
  <si>
    <t>Lowest Debt Ratio</t>
  </si>
  <si>
    <t>EQUITY</t>
  </si>
  <si>
    <t>ROE</t>
  </si>
  <si>
    <t>ROA</t>
  </si>
  <si>
    <t>HIGEST ROE</t>
  </si>
  <si>
    <t>HIGHEST ROA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</si>
  <si>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</si>
  <si>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</si>
  <si>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</si>
  <si>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</si>
  <si>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</si>
  <si>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</si>
  <si>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</si>
  <si>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</si>
  <si>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</si>
  <si>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Company</t>
  </si>
  <si>
    <t>Year</t>
  </si>
  <si>
    <t>Revenue</t>
  </si>
  <si>
    <t>COGS</t>
  </si>
  <si>
    <t>Gross Profit</t>
  </si>
  <si>
    <t>EBIT</t>
  </si>
  <si>
    <t>EBITDA</t>
  </si>
  <si>
    <t>Net Profit</t>
  </si>
  <si>
    <t>Current Assets</t>
  </si>
  <si>
    <t>Inventory</t>
  </si>
  <si>
    <t>Cash</t>
  </si>
  <si>
    <t>Current Liabilities</t>
  </si>
  <si>
    <t>Total Assets</t>
  </si>
  <si>
    <t>Net Fixed Assets</t>
  </si>
  <si>
    <t>Total Debt</t>
  </si>
  <si>
    <t>Shareholders' Equity</t>
  </si>
  <si>
    <t>Interest Expense</t>
  </si>
  <si>
    <t>Credit Sales</t>
  </si>
  <si>
    <t>Trade Receivables</t>
  </si>
  <si>
    <t>Credit Purchases</t>
  </si>
  <si>
    <t>Trade Payables</t>
  </si>
  <si>
    <t>Outstanding Shares</t>
  </si>
  <si>
    <t>Market Price/Share</t>
  </si>
  <si>
    <t>Dividend/Share</t>
  </si>
  <si>
    <t>Dr. Reddy's</t>
  </si>
  <si>
    <t>SUN PHARMA</t>
  </si>
  <si>
    <t>DR.REDDY'S</t>
  </si>
  <si>
    <t>LUPIN</t>
  </si>
  <si>
    <t>CIPLA</t>
  </si>
  <si>
    <t>Current Ratio</t>
  </si>
  <si>
    <t>Debt-to-Equity</t>
  </si>
  <si>
    <t>Interest Coverage</t>
  </si>
  <si>
    <t>Asset Turnover</t>
  </si>
  <si>
    <t>Status</t>
  </si>
  <si>
    <t xml:space="preserve">HIGHEST REVENUE </t>
  </si>
  <si>
    <t xml:space="preserve">HIGHEST PROFIT  </t>
  </si>
  <si>
    <t>Depreciation</t>
  </si>
  <si>
    <t>J</t>
  </si>
  <si>
    <t>K</t>
  </si>
  <si>
    <t>L</t>
  </si>
  <si>
    <t>Gross Profit Margin</t>
  </si>
  <si>
    <t>Operating Margin</t>
  </si>
  <si>
    <t>EBITDA Margin</t>
  </si>
  <si>
    <t>ROCE</t>
  </si>
  <si>
    <t>Quick Ratio</t>
  </si>
  <si>
    <t>Cash Ratio</t>
  </si>
  <si>
    <t>Receivable turnover</t>
  </si>
  <si>
    <t>Working capital</t>
  </si>
  <si>
    <t>Working capital turnover</t>
  </si>
  <si>
    <t>Inventory turnover</t>
  </si>
  <si>
    <t>Equity ratio</t>
  </si>
  <si>
    <t>debt ratio</t>
  </si>
  <si>
    <t>fixed asset turnover</t>
  </si>
  <si>
    <t>M</t>
  </si>
  <si>
    <t>N</t>
  </si>
  <si>
    <t>O</t>
  </si>
  <si>
    <t>P</t>
  </si>
  <si>
    <t>Q</t>
  </si>
  <si>
    <t>R</t>
  </si>
  <si>
    <t>S</t>
  </si>
  <si>
    <t>Metric</t>
  </si>
  <si>
    <t>Best Company</t>
  </si>
  <si>
    <t>Value</t>
  </si>
  <si>
    <t>Fixed Asset Turnover</t>
  </si>
  <si>
    <t>1. Sun Pharma recorded the highest Revenue (₹52,578 Cr), making it the largest company among the selected pharmaceutical companies.</t>
  </si>
  <si>
    <t>2. Sun Pharma generated the highest Net Profit (₹10,965 Cr), indicating strong profitability.</t>
  </si>
  <si>
    <t>3. Sun Pharma achieved the highest Gross Profit Margin (34.08%), reflecting effective cost management.</t>
  </si>
  <si>
    <t>4. Lupin recorded the highest ROCE (23.30%), indicating the most efficient utilization of capital employed.</t>
  </si>
  <si>
    <t>5. Aurobindo Pharma reported the highest Current Ratio (3.45), demonstrating the strongest short-term liquidity.</t>
  </si>
  <si>
    <t>6. Aurobindo Pharma achieved the highest Quick Ratio (2.20), showing excellent ability to meet short-term obligations without relying on inventory.</t>
  </si>
  <si>
    <t>7. Sun Pharma recorded the highest Cash Ratio (0.65), reflecting the strongest immediate liquidity position.</t>
  </si>
  <si>
    <t>8. Cipla achieved the highest Fixed Asset Turnover (2.75), indicating the most efficient utilization of fixed assets.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</si>
</sst>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72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/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center"/>
    </xf>
    <xf numFmtId="9" fontId="4" fillId="0" borderId="0" xfId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0" fillId="0" borderId="0" xfId="0" applyNumberFormat="1"/>
    <xf numFmtId="2" fontId="2" fillId="0" borderId="0" xfId="0" applyNumberFormat="1" applyFont="1"/>
    <xf numFmtId="2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2" fillId="0" borderId="0" xfId="0" applyFon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172" fontId="0" fillId="0" borderId="0" xfId="0" applyNumberFormat="1" applyAlignment="1">
      <alignment horizontal="right" vertical="center" wrapText="1"/>
    </xf>
    <xf numFmtId="0" fontId="6" fillId="0" borderId="0" xfId="0" applyFont="1" applyAlignment="1">
      <alignment horizontal="left" vertical="center" indent="1"/>
    </xf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5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3" fontId="2" fillId="2" borderId="0" xfId="0" applyNumberFormat="1" applyFont="1" applyFill="1" applyAlignment="1">
      <alignment horizontal="center"/>
    </xf>
    <xf numFmtId="9" fontId="2" fillId="2" borderId="0" xfId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1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IN" sz="1600" b="1" i="0" u="none" strike="noStrike" baseline="0"/>
              <a:t>Revenue &amp; Net Profit Comparison</a:t>
            </a:r>
            <a:endParaRPr lang="en-IN" sz="1600" baseline="0"/>
          </a:p>
          <a:p>
            <a:pPr>
              <a:defRPr sz="1600"/>
            </a:pPr>
            <a:endParaRPr lang="en-IN" sz="1600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cat>
            <c:strRef>
              <c:f>DASHBOARD!$A$2:$A$6</c:f>
              <c:strCache>
                <c:ptCount val="5"/>
                <c:pt idx="0">
                  <c:v>Sun Pharma</c:v>
                </c:pt>
                <c:pt idx="1">
                  <c:v>Dr Reddy's</c:v>
                </c:pt>
                <c:pt idx="2">
                  <c:v>Cipla</c:v>
                </c:pt>
                <c:pt idx="3">
                  <c:v>Lupin</c:v>
                </c:pt>
                <c:pt idx="4">
                  <c:v>Aurobindo Pharma</c:v>
                </c:pt>
              </c:strCache>
            </c:strRef>
          </c:cat>
          <c:val>
            <c:numRef>
              <c:f>DASHBOARD!$B$2:$B$6</c:f>
              <c:numCache>
                <c:formatCode>General</c:formatCode>
                <c:ptCount val="5"/>
                <c:pt idx="0">
                  <c:v>52578</c:v>
                </c:pt>
                <c:pt idx="1">
                  <c:v>32644</c:v>
                </c:pt>
                <c:pt idx="2">
                  <c:v>27548</c:v>
                </c:pt>
                <c:pt idx="3">
                  <c:v>22708</c:v>
                </c:pt>
                <c:pt idx="4">
                  <c:v>31724</c:v>
                </c:pt>
              </c:numCache>
            </c:numRef>
          </c:val>
        </c:ser>
        <c:ser>
          <c:idx val="1"/>
          <c:order val="1"/>
          <c:tx>
            <c:strRef>
              <c:f>DASHBOARD!$C$1</c:f>
              <c:strCache>
                <c:ptCount val="1"/>
                <c:pt idx="0">
                  <c:v>NET PROFIT</c:v>
                </c:pt>
              </c:strCache>
            </c:strRef>
          </c:tx>
          <c:invertIfNegative val="0"/>
          <c:cat>
            <c:strRef>
              <c:f>DASHBOARD!$A$2:$A$6</c:f>
              <c:strCache>
                <c:ptCount val="5"/>
                <c:pt idx="0">
                  <c:v>Sun Pharma</c:v>
                </c:pt>
                <c:pt idx="1">
                  <c:v>Dr Reddy's</c:v>
                </c:pt>
                <c:pt idx="2">
                  <c:v>Cipla</c:v>
                </c:pt>
                <c:pt idx="3">
                  <c:v>Lupin</c:v>
                </c:pt>
                <c:pt idx="4">
                  <c:v>Aurobindo Pharma</c:v>
                </c:pt>
              </c:strCache>
            </c:strRef>
          </c:cat>
          <c:val>
            <c:numRef>
              <c:f>DASHBOARD!$C$2:$C$6</c:f>
              <c:numCache>
                <c:formatCode>General</c:formatCode>
                <c:ptCount val="5"/>
                <c:pt idx="0">
                  <c:v>10965</c:v>
                </c:pt>
                <c:pt idx="1">
                  <c:v>5725</c:v>
                </c:pt>
                <c:pt idx="2">
                  <c:v>4269</c:v>
                </c:pt>
                <c:pt idx="3">
                  <c:v>3306</c:v>
                </c:pt>
                <c:pt idx="4">
                  <c:v>3484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249856"/>
        <c:axId val="198259840"/>
      </c:barChart>
      <c:catAx>
        <c:axId val="198249856"/>
        <c:scaling>
          <c:orientation val="minMax"/>
        </c:scaling>
        <c:delete val="0"/>
        <c:axPos val="b"/>
        <c:majorTickMark val="none"/>
        <c:minorTickMark val="none"/>
        <c:tickLblPos val="nextTo"/>
        <c:crossAx val="198259840"/>
        <c:crosses val="autoZero"/>
        <c:auto val="1"/>
        <c:lblAlgn val="ctr"/>
        <c:lblOffset val="100"/>
        <c:noMultiLvlLbl val="0"/>
      </c:catAx>
      <c:valAx>
        <c:axId val="1982598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982498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IN" sz="1600"/>
              <a:t>PROFIT MARGIN COMPARISON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DASHBOARD!$F$1</c:f>
              <c:strCache>
                <c:ptCount val="1"/>
                <c:pt idx="0">
                  <c:v>PROFIT MARGIN</c:v>
                </c:pt>
              </c:strCache>
            </c:strRef>
          </c:tx>
          <c:invertIfNegative val="0"/>
          <c:cat>
            <c:strRef>
              <c:f>DASHBOARD!$A$2:$A$6</c:f>
              <c:strCache>
                <c:ptCount val="5"/>
                <c:pt idx="0">
                  <c:v>Sun Pharma</c:v>
                </c:pt>
                <c:pt idx="1">
                  <c:v>Dr Reddy's</c:v>
                </c:pt>
                <c:pt idx="2">
                  <c:v>Cipla</c:v>
                </c:pt>
                <c:pt idx="3">
                  <c:v>Lupin</c:v>
                </c:pt>
                <c:pt idx="4">
                  <c:v>Aurobindo Pharma</c:v>
                </c:pt>
              </c:strCache>
            </c:strRef>
          </c:cat>
          <c:val>
            <c:numRef>
              <c:f>DASHBOARD!$F$2:$F$6</c:f>
              <c:numCache>
                <c:formatCode>0%</c:formatCode>
                <c:ptCount val="5"/>
                <c:pt idx="0">
                  <c:v>0.20854730115257333</c:v>
                </c:pt>
                <c:pt idx="1">
                  <c:v>0.17537679205979659</c:v>
                </c:pt>
                <c:pt idx="2">
                  <c:v>0.15496587774067083</c:v>
                </c:pt>
                <c:pt idx="3">
                  <c:v>0.14558745816452351</c:v>
                </c:pt>
                <c:pt idx="4">
                  <c:v>0.10982221661833312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280320"/>
        <c:axId val="198281856"/>
      </c:barChart>
      <c:catAx>
        <c:axId val="198280320"/>
        <c:scaling>
          <c:orientation val="minMax"/>
        </c:scaling>
        <c:delete val="0"/>
        <c:axPos val="b"/>
        <c:majorTickMark val="out"/>
        <c:minorTickMark val="none"/>
        <c:tickLblPos val="nextTo"/>
        <c:crossAx val="198281856"/>
        <c:crosses val="autoZero"/>
        <c:auto val="1"/>
        <c:lblAlgn val="ctr"/>
        <c:lblOffset val="100"/>
        <c:noMultiLvlLbl val="0"/>
      </c:catAx>
      <c:valAx>
        <c:axId val="19828185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982803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ROE COMPARISON </a:t>
            </a:r>
          </a:p>
          <a:p>
            <a:pPr>
              <a:defRPr sz="1600"/>
            </a:pPr>
            <a:endParaRPr lang="en-US" sz="1600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DASHBOARD!$N$1</c:f>
              <c:strCache>
                <c:ptCount val="1"/>
                <c:pt idx="0">
                  <c:v>ROE</c:v>
                </c:pt>
              </c:strCache>
            </c:strRef>
          </c:tx>
          <c:invertIfNegative val="0"/>
          <c:cat>
            <c:strRef>
              <c:f>DASHBOARD!$A$2:$A$6</c:f>
              <c:strCache>
                <c:ptCount val="5"/>
                <c:pt idx="0">
                  <c:v>Sun Pharma</c:v>
                </c:pt>
                <c:pt idx="1">
                  <c:v>Dr Reddy's</c:v>
                </c:pt>
                <c:pt idx="2">
                  <c:v>Cipla</c:v>
                </c:pt>
                <c:pt idx="3">
                  <c:v>Lupin</c:v>
                </c:pt>
                <c:pt idx="4">
                  <c:v>Aurobindo Pharma</c:v>
                </c:pt>
              </c:strCache>
            </c:strRef>
          </c:cat>
          <c:val>
            <c:numRef>
              <c:f>DASHBOARD!$N$2:$N$6</c:f>
              <c:numCache>
                <c:formatCode>0%</c:formatCode>
                <c:ptCount val="5"/>
                <c:pt idx="0">
                  <c:v>0.1518319532526517</c:v>
                </c:pt>
                <c:pt idx="1">
                  <c:v>0.17064592089182987</c:v>
                </c:pt>
                <c:pt idx="2">
                  <c:v>0.13685324100788612</c:v>
                </c:pt>
                <c:pt idx="3">
                  <c:v>0.19217578329361157</c:v>
                </c:pt>
                <c:pt idx="4">
                  <c:v>0.10669770005818761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734208"/>
        <c:axId val="198735744"/>
      </c:barChart>
      <c:catAx>
        <c:axId val="198734208"/>
        <c:scaling>
          <c:orientation val="minMax"/>
        </c:scaling>
        <c:delete val="0"/>
        <c:axPos val="b"/>
        <c:majorTickMark val="none"/>
        <c:minorTickMark val="none"/>
        <c:tickLblPos val="nextTo"/>
        <c:crossAx val="198735744"/>
        <c:crosses val="autoZero"/>
        <c:auto val="1"/>
        <c:lblAlgn val="ctr"/>
        <c:lblOffset val="100"/>
        <c:noMultiLvlLbl val="0"/>
      </c:catAx>
      <c:valAx>
        <c:axId val="198735744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crossAx val="1987342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ROCE Comparison</a:t>
            </a:r>
            <a:r>
              <a:rPr lang="en-IN" baseline="0"/>
              <a:t> </a:t>
            </a:r>
            <a:endParaRPr lang="en-IN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CALCULATIONS!$J$2</c:f>
              <c:strCache>
                <c:ptCount val="1"/>
                <c:pt idx="0">
                  <c:v>ROCE</c:v>
                </c:pt>
              </c:strCache>
            </c:strRef>
          </c:tx>
          <c:invertIfNegative val="0"/>
          <c:cat>
            <c:strRef>
              <c:f>CALCULATIONS!$A$3:$A$7</c:f>
              <c:strCache>
                <c:ptCount val="5"/>
                <c:pt idx="0">
                  <c:v>Sun Pharma</c:v>
                </c:pt>
                <c:pt idx="1">
                  <c:v>Dr. Reddy's</c:v>
                </c:pt>
                <c:pt idx="2">
                  <c:v>Cipla</c:v>
                </c:pt>
                <c:pt idx="3">
                  <c:v>Lupin</c:v>
                </c:pt>
                <c:pt idx="4">
                  <c:v>Aurobindo Pharma</c:v>
                </c:pt>
              </c:strCache>
            </c:strRef>
          </c:cat>
          <c:val>
            <c:numRef>
              <c:f>CALCULATIONS!$J$3:$J$7</c:f>
              <c:numCache>
                <c:formatCode>0.00%</c:formatCode>
                <c:ptCount val="5"/>
                <c:pt idx="0">
                  <c:v>0.2026</c:v>
                </c:pt>
                <c:pt idx="1">
                  <c:v>0.22359999999999999</c:v>
                </c:pt>
                <c:pt idx="2">
                  <c:v>0.2253</c:v>
                </c:pt>
                <c:pt idx="3">
                  <c:v>0.23300000000000001</c:v>
                </c:pt>
                <c:pt idx="4">
                  <c:v>0.16009999999999999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046144"/>
        <c:axId val="40132992"/>
      </c:barChart>
      <c:catAx>
        <c:axId val="39046144"/>
        <c:scaling>
          <c:orientation val="minMax"/>
        </c:scaling>
        <c:delete val="0"/>
        <c:axPos val="b"/>
        <c:majorTickMark val="out"/>
        <c:minorTickMark val="none"/>
        <c:tickLblPos val="nextTo"/>
        <c:crossAx val="40132992"/>
        <c:crosses val="autoZero"/>
        <c:auto val="1"/>
        <c:lblAlgn val="ctr"/>
        <c:lblOffset val="100"/>
        <c:noMultiLvlLbl val="0"/>
      </c:catAx>
      <c:valAx>
        <c:axId val="4013299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390461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Current Ratio Comparison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CALCULATIONS!$B$2</c:f>
              <c:strCache>
                <c:ptCount val="1"/>
                <c:pt idx="0">
                  <c:v>Current Ratio</c:v>
                </c:pt>
              </c:strCache>
            </c:strRef>
          </c:tx>
          <c:invertIfNegative val="0"/>
          <c:cat>
            <c:strRef>
              <c:f>CALCULATIONS!$A$3:$A$7</c:f>
              <c:strCache>
                <c:ptCount val="5"/>
                <c:pt idx="0">
                  <c:v>Sun Pharma</c:v>
                </c:pt>
                <c:pt idx="1">
                  <c:v>Dr. Reddy's</c:v>
                </c:pt>
                <c:pt idx="2">
                  <c:v>Cipla</c:v>
                </c:pt>
                <c:pt idx="3">
                  <c:v>Lupin</c:v>
                </c:pt>
                <c:pt idx="4">
                  <c:v>Aurobindo Pharma</c:v>
                </c:pt>
              </c:strCache>
            </c:strRef>
          </c:cat>
          <c:val>
            <c:numRef>
              <c:f>CALCULATIONS!$B$3:$B$7</c:f>
              <c:numCache>
                <c:formatCode>0.00</c:formatCode>
                <c:ptCount val="5"/>
                <c:pt idx="0">
                  <c:v>2.5579409048938135</c:v>
                </c:pt>
                <c:pt idx="1">
                  <c:v>2.3762376237623761</c:v>
                </c:pt>
                <c:pt idx="2">
                  <c:v>3.1266222378112944</c:v>
                </c:pt>
                <c:pt idx="3">
                  <c:v>2.7810968863600443</c:v>
                </c:pt>
                <c:pt idx="4">
                  <c:v>3.4480504319402288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48352"/>
        <c:axId val="134044288"/>
      </c:barChart>
      <c:catAx>
        <c:axId val="40148352"/>
        <c:scaling>
          <c:orientation val="minMax"/>
        </c:scaling>
        <c:delete val="0"/>
        <c:axPos val="b"/>
        <c:majorTickMark val="out"/>
        <c:minorTickMark val="none"/>
        <c:tickLblPos val="nextTo"/>
        <c:crossAx val="134044288"/>
        <c:crosses val="autoZero"/>
        <c:auto val="1"/>
        <c:lblAlgn val="ctr"/>
        <c:lblOffset val="100"/>
        <c:noMultiLvlLbl val="0"/>
      </c:catAx>
      <c:valAx>
        <c:axId val="1340442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401483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133351</xdr:colOff>
      <xdr:row>7</xdr:row>
      <xdr:rowOff>74083</xdr:rowOff>
    </xdr:from>
    <xdr:to>
      <xdr:col>12</xdr:col>
      <xdr:colOff>63500</xdr:colOff>
      <xdr:row>14</xdr:row>
      <xdr:rowOff>15875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436943</xdr:colOff>
      <xdr:row>14</xdr:row>
      <xdr:rowOff>105834</xdr:rowOff>
    </xdr:from>
    <xdr:to>
      <xdr:col>12</xdr:col>
      <xdr:colOff>0</xdr:colOff>
      <xdr:row>28</xdr:row>
      <xdr:rowOff>137583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95250</xdr:colOff>
      <xdr:row>25</xdr:row>
      <xdr:rowOff>52916</xdr:rowOff>
    </xdr:from>
    <xdr:to>
      <xdr:col>19</xdr:col>
      <xdr:colOff>550334</xdr:colOff>
      <xdr:row>39</xdr:row>
      <xdr:rowOff>1059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841375</xdr:colOff>
      <xdr:row>39</xdr:row>
      <xdr:rowOff>222250</xdr:rowOff>
    </xdr:from>
    <xdr:to>
      <xdr:col>18</xdr:col>
      <xdr:colOff>438150</xdr:colOff>
      <xdr:row>51</xdr:row>
      <xdr:rowOff>149225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95251</xdr:colOff>
      <xdr:row>8</xdr:row>
      <xdr:rowOff>142876</xdr:rowOff>
    </xdr:from>
    <xdr:to>
      <xdr:col>18</xdr:col>
      <xdr:colOff>381000</xdr:colOff>
      <xdr:row>23</xdr:row>
      <xdr:rowOff>63500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"/>
  <sheetViews>
    <sheetView tabSelected="1" zoomScale="40" zoomScaleNormal="40" workbookViewId="0">
      <selection activeCell="U40" sqref="U40"/>
    </sheetView>
  </sheetViews>
  <sheetFormatPr defaultRowHeight="14.5" x14ac:dyDescent="0.35"/>
  <cols>
    <col min="1" max="1" width="17.6328125" customWidth="1"/>
    <col min="3" max="3" width="13.54296875" bestFit="1" customWidth="1"/>
    <col min="5" max="5" width="16.453125" customWidth="1"/>
    <col min="6" max="6" width="16.6328125" customWidth="1"/>
    <col min="7" max="7" width="10.453125" customWidth="1"/>
    <col min="9" max="9" width="22.1796875" customWidth="1"/>
    <col min="10" max="10" width="22.54296875" customWidth="1"/>
    <col min="11" max="11" width="30.26953125" customWidth="1"/>
    <col min="12" max="12" width="23.7265625" customWidth="1"/>
    <col min="13" max="13" width="12.26953125" customWidth="1"/>
    <col min="16" max="16" width="16.54296875" customWidth="1"/>
    <col min="17" max="17" width="23.90625" customWidth="1"/>
    <col min="18" max="18" width="29.81640625" customWidth="1"/>
    <col min="19" max="19" width="10.36328125" customWidth="1"/>
  </cols>
  <sheetData>
    <row r="1" spans="1:20" ht="29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11</v>
      </c>
      <c r="F1" s="1" t="s">
        <v>9</v>
      </c>
      <c r="G1" s="1" t="s">
        <v>10</v>
      </c>
      <c r="I1" s="27" t="s">
        <v>63</v>
      </c>
      <c r="J1" s="27" t="s">
        <v>64</v>
      </c>
      <c r="K1" s="27" t="s">
        <v>13</v>
      </c>
      <c r="L1" s="27" t="s">
        <v>14</v>
      </c>
      <c r="M1" s="27" t="s">
        <v>15</v>
      </c>
      <c r="N1" s="27" t="s">
        <v>16</v>
      </c>
      <c r="O1" s="27" t="s">
        <v>17</v>
      </c>
      <c r="P1" s="27" t="s">
        <v>18</v>
      </c>
      <c r="Q1" s="27" t="s">
        <v>19</v>
      </c>
      <c r="R1" s="8" t="s">
        <v>89</v>
      </c>
      <c r="S1" s="8" t="s">
        <v>90</v>
      </c>
      <c r="T1" s="19" t="s">
        <v>91</v>
      </c>
    </row>
    <row r="2" spans="1:20" s="6" customFormat="1" ht="29" x14ac:dyDescent="0.35">
      <c r="A2" s="6" t="s">
        <v>0</v>
      </c>
      <c r="B2" s="6">
        <v>52578</v>
      </c>
      <c r="C2" s="6">
        <v>10965</v>
      </c>
      <c r="D2" s="6">
        <v>91908</v>
      </c>
      <c r="E2" s="6">
        <v>19960</v>
      </c>
      <c r="F2" s="7">
        <f>C2/B2</f>
        <v>0.20854730115257333</v>
      </c>
      <c r="G2" s="7">
        <f>E2/D2</f>
        <v>0.217173695434565</v>
      </c>
      <c r="I2" s="28">
        <f>MAX(B2:B6)</f>
        <v>52578</v>
      </c>
      <c r="J2" s="28">
        <f>MAX(C2:C6)</f>
        <v>10965</v>
      </c>
      <c r="K2" s="29">
        <f>AVERAGE(F2:F6)</f>
        <v>0.1588599291471795</v>
      </c>
      <c r="L2" s="29">
        <f>MIN(G2:G6)</f>
        <v>0.15272941554615097</v>
      </c>
      <c r="M2" s="30">
        <v>72218</v>
      </c>
      <c r="N2" s="31">
        <f>C2/M2</f>
        <v>0.1518319532526517</v>
      </c>
      <c r="O2" s="31">
        <f>C2/D2</f>
        <v>0.11930408669539104</v>
      </c>
      <c r="P2" s="29">
        <f>MAX(N2:N6)</f>
        <v>0.19217578329361157</v>
      </c>
      <c r="Q2" s="29">
        <f>MAX(O2:O6)</f>
        <v>0.11930408669539104</v>
      </c>
      <c r="R2" s="9" t="s">
        <v>58</v>
      </c>
      <c r="S2" s="9" t="str">
        <f>INDEX(CALCULATIONS!A3:A7,MATCH(MAX(CALCULATIONS!B3:B7),CALCULATIONS!B3:B7,0))</f>
        <v>Aurobindo Pharma</v>
      </c>
      <c r="T2" s="20">
        <f>MAX(CALCULATIONS!B3:B7)</f>
        <v>3.4480504319402288</v>
      </c>
    </row>
    <row r="3" spans="1:20" s="6" customFormat="1" ht="29" x14ac:dyDescent="0.35">
      <c r="A3" s="6" t="s">
        <v>1</v>
      </c>
      <c r="B3" s="6">
        <v>32644</v>
      </c>
      <c r="C3" s="6">
        <v>5725</v>
      </c>
      <c r="D3" s="6">
        <v>48023</v>
      </c>
      <c r="E3" s="6">
        <v>9797</v>
      </c>
      <c r="F3" s="7">
        <f t="shared" ref="F3:F6" si="0">C3/B3</f>
        <v>0.17537679205979659</v>
      </c>
      <c r="G3" s="7">
        <f t="shared" ref="G3:G6" si="1">E3/D3</f>
        <v>0.20400641359348645</v>
      </c>
      <c r="I3" s="28"/>
      <c r="J3" s="28"/>
      <c r="K3" s="28"/>
      <c r="L3" s="28"/>
      <c r="M3" s="30">
        <v>33549</v>
      </c>
      <c r="N3" s="31">
        <f>C3/M3</f>
        <v>0.17064592089182987</v>
      </c>
      <c r="O3" s="31">
        <f>C3/D3</f>
        <v>0.11921371009724507</v>
      </c>
      <c r="P3" s="28"/>
      <c r="Q3" s="28"/>
      <c r="R3" s="9" t="s">
        <v>73</v>
      </c>
      <c r="S3" s="9" t="str">
        <f>INDEX(CALCULATIONS!A3:A7,MATCH(MAX(CALCULATIONS!K3:K7),CALCULATIONS!K3:K7,0))</f>
        <v>Aurobindo Pharma</v>
      </c>
      <c r="T3" s="20">
        <f>MAX(CALCULATIONS!K3:K7)</f>
        <v>2.2171375204296053</v>
      </c>
    </row>
    <row r="4" spans="1:20" s="6" customFormat="1" x14ac:dyDescent="0.35">
      <c r="A4" s="6" t="s">
        <v>2</v>
      </c>
      <c r="B4" s="6">
        <v>27548</v>
      </c>
      <c r="C4" s="6">
        <v>4269</v>
      </c>
      <c r="D4" s="6">
        <v>37334</v>
      </c>
      <c r="E4" s="6">
        <v>5702</v>
      </c>
      <c r="F4" s="7">
        <f t="shared" si="0"/>
        <v>0.15496587774067083</v>
      </c>
      <c r="G4" s="7">
        <f t="shared" si="1"/>
        <v>0.15272941554615097</v>
      </c>
      <c r="I4" s="28"/>
      <c r="J4" s="28"/>
      <c r="K4" s="28"/>
      <c r="L4" s="28"/>
      <c r="M4" s="30">
        <v>31194</v>
      </c>
      <c r="N4" s="31">
        <f>C4/M4</f>
        <v>0.13685324100788612</v>
      </c>
      <c r="O4" s="31">
        <f>C4/D4</f>
        <v>0.11434617238977876</v>
      </c>
      <c r="P4" s="28"/>
      <c r="Q4" s="28"/>
      <c r="R4" s="9" t="s">
        <v>72</v>
      </c>
      <c r="S4" s="9" t="str">
        <f>INDEX(CALCULATIONS!A3:A7,MATCH(MAX(CALCULATIONS!J3:J7),CALCULATIONS!J3:J7,0))</f>
        <v>Lupin</v>
      </c>
      <c r="T4" s="21">
        <f>MAX(CALCULATIONS!J3:J7)</f>
        <v>0.23300000000000001</v>
      </c>
    </row>
    <row r="5" spans="1:20" s="6" customFormat="1" x14ac:dyDescent="0.35">
      <c r="A5" s="6" t="s">
        <v>3</v>
      </c>
      <c r="B5" s="6">
        <v>22708</v>
      </c>
      <c r="C5" s="6">
        <v>3306</v>
      </c>
      <c r="D5" s="6">
        <v>28978</v>
      </c>
      <c r="E5" s="6">
        <v>6327</v>
      </c>
      <c r="F5" s="7">
        <f>C5/B5</f>
        <v>0.14558745816452351</v>
      </c>
      <c r="G5" s="7">
        <f>E5/D5</f>
        <v>0.21833804955483471</v>
      </c>
      <c r="I5" s="28"/>
      <c r="J5" s="28"/>
      <c r="K5" s="28"/>
      <c r="L5" s="28"/>
      <c r="M5" s="30">
        <v>17203</v>
      </c>
      <c r="N5" s="31">
        <f>C5/M5</f>
        <v>0.19217578329361157</v>
      </c>
      <c r="O5" s="31">
        <f>C5/D5</f>
        <v>0.11408654841603975</v>
      </c>
      <c r="P5" s="28"/>
      <c r="Q5" s="28"/>
      <c r="R5" s="9" t="s">
        <v>92</v>
      </c>
      <c r="S5" s="9" t="str">
        <f>INDEX(CALCULATIONS!A3:A7,MATCH(MAX(CALCULATIONS!S3:S7),CALCULATIONS!S3:S7,0))</f>
        <v>Cipla</v>
      </c>
      <c r="T5" s="20">
        <f>MAX(CALCULATIONS!S3:S7)</f>
        <v>2.7531481111333198</v>
      </c>
    </row>
    <row r="6" spans="1:20" s="6" customFormat="1" x14ac:dyDescent="0.35">
      <c r="A6" s="6" t="s">
        <v>4</v>
      </c>
      <c r="B6" s="6">
        <v>31724</v>
      </c>
      <c r="C6" s="6">
        <v>3484</v>
      </c>
      <c r="D6" s="6">
        <v>49482</v>
      </c>
      <c r="E6" s="6">
        <v>8566</v>
      </c>
      <c r="F6" s="7">
        <f t="shared" si="0"/>
        <v>0.10982221661833312</v>
      </c>
      <c r="G6" s="7">
        <f t="shared" si="1"/>
        <v>0.17311345539792247</v>
      </c>
      <c r="I6" s="28"/>
      <c r="J6" s="28"/>
      <c r="K6" s="28"/>
      <c r="L6" s="28"/>
      <c r="M6" s="30">
        <v>32653</v>
      </c>
      <c r="N6" s="31">
        <f>C6/M6</f>
        <v>0.10669770005818761</v>
      </c>
      <c r="O6" s="31">
        <f>C6/D6</f>
        <v>7.040944181722647E-2</v>
      </c>
      <c r="P6" s="28"/>
      <c r="Q6" s="28"/>
    </row>
    <row r="7" spans="1:20" s="6" customFormat="1" x14ac:dyDescent="0.35">
      <c r="I7" s="28"/>
      <c r="J7" s="28"/>
      <c r="K7" s="28"/>
      <c r="L7" s="28"/>
      <c r="M7" s="28"/>
      <c r="N7" s="28"/>
      <c r="O7" s="28"/>
      <c r="P7" s="28"/>
      <c r="Q7" s="28"/>
    </row>
    <row r="32" spans="8:8" ht="17.5" x14ac:dyDescent="0.35">
      <c r="H32" s="2" t="s">
        <v>12</v>
      </c>
    </row>
    <row r="33" spans="5:17" x14ac:dyDescent="0.35">
      <c r="E33" s="5"/>
      <c r="H33" s="3"/>
    </row>
    <row r="34" spans="5:17" ht="18.5" x14ac:dyDescent="0.45">
      <c r="E34" s="22" t="s">
        <v>93</v>
      </c>
      <c r="F34" s="23"/>
      <c r="G34" s="23"/>
      <c r="H34" s="23"/>
      <c r="I34" s="23"/>
      <c r="J34" s="24"/>
      <c r="K34" s="23"/>
    </row>
    <row r="35" spans="5:17" ht="18.5" x14ac:dyDescent="0.45">
      <c r="E35" s="22"/>
      <c r="F35" s="23"/>
      <c r="G35" s="23"/>
      <c r="H35" s="23"/>
      <c r="I35" s="23"/>
      <c r="J35" s="24"/>
      <c r="K35" s="23"/>
    </row>
    <row r="36" spans="5:17" ht="18.5" x14ac:dyDescent="0.45">
      <c r="E36" s="22" t="s">
        <v>94</v>
      </c>
      <c r="F36" s="23"/>
      <c r="G36" s="23"/>
      <c r="H36" s="23"/>
      <c r="I36" s="23"/>
      <c r="J36" s="24"/>
      <c r="K36" s="23"/>
    </row>
    <row r="37" spans="5:17" ht="18.5" x14ac:dyDescent="0.45">
      <c r="E37" s="22"/>
      <c r="F37" s="23"/>
      <c r="G37" s="23"/>
      <c r="H37" s="23"/>
      <c r="I37" s="23"/>
      <c r="J37" s="24"/>
      <c r="K37" s="23"/>
    </row>
    <row r="38" spans="5:17" ht="18.5" x14ac:dyDescent="0.45">
      <c r="E38" s="22" t="s">
        <v>95</v>
      </c>
      <c r="F38" s="23"/>
      <c r="G38" s="23"/>
      <c r="H38" s="23"/>
      <c r="I38" s="23"/>
      <c r="J38" s="24"/>
      <c r="K38" s="23"/>
    </row>
    <row r="39" spans="5:17" ht="18.5" x14ac:dyDescent="0.45">
      <c r="E39" s="22"/>
      <c r="F39" s="23"/>
      <c r="G39" s="23"/>
      <c r="H39" s="23"/>
      <c r="I39" s="23"/>
      <c r="J39" s="24"/>
      <c r="K39" s="23"/>
    </row>
    <row r="40" spans="5:17" ht="18.5" x14ac:dyDescent="0.45">
      <c r="E40" s="24" t="s">
        <v>96</v>
      </c>
      <c r="F40" s="23"/>
      <c r="G40" s="23"/>
      <c r="H40" s="23"/>
      <c r="I40" s="23"/>
      <c r="J40" s="24"/>
      <c r="K40" s="23"/>
    </row>
    <row r="41" spans="5:17" ht="18.5" x14ac:dyDescent="0.45">
      <c r="E41" s="24"/>
      <c r="F41" s="23"/>
      <c r="G41" s="23"/>
      <c r="H41" s="23"/>
      <c r="I41" s="23"/>
      <c r="J41" s="24"/>
      <c r="K41" s="23"/>
    </row>
    <row r="42" spans="5:17" ht="18.5" x14ac:dyDescent="0.45">
      <c r="E42" s="24" t="s">
        <v>97</v>
      </c>
      <c r="F42" s="23"/>
      <c r="G42" s="23"/>
      <c r="H42" s="23"/>
      <c r="I42" s="23"/>
      <c r="J42" s="24"/>
      <c r="K42" s="23"/>
    </row>
    <row r="43" spans="5:17" ht="18.5" x14ac:dyDescent="0.45">
      <c r="E43" s="23"/>
      <c r="F43" s="23"/>
      <c r="G43" s="23"/>
      <c r="H43" s="23"/>
      <c r="I43" s="23"/>
      <c r="J43" s="24"/>
      <c r="K43" s="23"/>
    </row>
    <row r="44" spans="5:17" ht="18.5" x14ac:dyDescent="0.45">
      <c r="E44" s="25" t="s">
        <v>98</v>
      </c>
      <c r="F44" s="25"/>
      <c r="G44" s="25"/>
      <c r="H44" s="25"/>
      <c r="I44" s="25"/>
      <c r="J44" s="25"/>
      <c r="K44" s="25"/>
      <c r="L44" s="26"/>
      <c r="M44" s="26"/>
      <c r="N44" s="26"/>
      <c r="O44" s="26"/>
      <c r="P44" s="26"/>
      <c r="Q44" s="26"/>
    </row>
    <row r="45" spans="5:17" ht="18.5" x14ac:dyDescent="0.45">
      <c r="E45" s="25"/>
      <c r="F45" s="25"/>
      <c r="G45" s="25"/>
      <c r="H45" s="25"/>
      <c r="I45" s="25"/>
      <c r="J45" s="25"/>
      <c r="K45" s="25"/>
      <c r="L45" s="26"/>
      <c r="M45" s="26"/>
      <c r="N45" s="26"/>
      <c r="O45" s="26"/>
      <c r="P45" s="26"/>
      <c r="Q45" s="26"/>
    </row>
    <row r="46" spans="5:17" ht="18.5" x14ac:dyDescent="0.45">
      <c r="E46" s="25" t="s">
        <v>99</v>
      </c>
      <c r="F46" s="25"/>
      <c r="G46" s="25"/>
      <c r="H46" s="25"/>
      <c r="I46" s="25"/>
      <c r="J46" s="25"/>
      <c r="K46" s="25"/>
      <c r="L46" s="26"/>
      <c r="M46" s="26"/>
      <c r="N46" s="26"/>
      <c r="O46" s="26"/>
      <c r="P46" s="26"/>
      <c r="Q46" s="26"/>
    </row>
    <row r="47" spans="5:17" ht="18.5" x14ac:dyDescent="0.45">
      <c r="E47" s="25"/>
      <c r="F47" s="25"/>
      <c r="G47" s="25"/>
      <c r="H47" s="25"/>
      <c r="I47" s="25"/>
      <c r="J47" s="25"/>
      <c r="K47" s="25"/>
      <c r="L47" s="26"/>
      <c r="M47" s="26"/>
      <c r="N47" s="26"/>
      <c r="O47" s="26"/>
      <c r="P47" s="26"/>
      <c r="Q47" s="26"/>
    </row>
    <row r="48" spans="5:17" ht="18.5" x14ac:dyDescent="0.45">
      <c r="E48" s="25" t="s">
        <v>100</v>
      </c>
      <c r="F48" s="25"/>
      <c r="G48" s="25"/>
      <c r="H48" s="25"/>
      <c r="I48" s="25"/>
      <c r="J48" s="25"/>
      <c r="K48" s="25"/>
      <c r="L48" s="26"/>
      <c r="M48" s="26"/>
      <c r="N48" s="26"/>
      <c r="O48" s="26"/>
      <c r="P48" s="26"/>
      <c r="Q48" s="26"/>
    </row>
  </sheetData>
  <conditionalFormatting sqref="B2:B6">
    <cfRule type="top10" dxfId="14" priority="10" rank="1"/>
  </conditionalFormatting>
  <conditionalFormatting sqref="G2:G6">
    <cfRule type="top10" dxfId="13" priority="9" bottom="1" rank="1"/>
  </conditionalFormatting>
  <conditionalFormatting sqref="A1:Q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{3AD73612-C80F-462E-AB98-A5A9A1F52E4B}</x14:id>
        </ext>
      </extLst>
    </cfRule>
  </conditionalFormatting>
  <conditionalFormatting sqref="F2:F6">
    <cfRule type="top10" dxfId="12" priority="6" rank="1"/>
  </conditionalFormatting>
  <conditionalFormatting sqref="N2:N6">
    <cfRule type="top10" dxfId="11" priority="4" bottom="1" rank="1"/>
    <cfRule type="top10" dxfId="10" priority="5" rank="1"/>
  </conditionalFormatting>
  <conditionalFormatting sqref="O2:O6">
    <cfRule type="top10" dxfId="9" priority="2" bottom="1" rank="1"/>
    <cfRule type="top10" dxfId="8" priority="3" percent="1" rank="1"/>
  </conditionalFormatting>
  <conditionalFormatting sqref="T2:T5">
    <cfRule type="top10" dxfId="0" priority="1" rank="1"/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D73612-C80F-462E-AB98-A5A9A1F52E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A1:Q1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Views>
    <sheetView zoomScale="70" zoomScaleNormal="70" workbookViewId="0">
      <selection activeCell="Q13" sqref="Q13"/>
    </sheetView>
  </sheetViews>
  <sheetFormatPr defaultRowHeight="14.5" x14ac:dyDescent="0.35"/>
  <cols>
    <col min="1" max="1" width="16.453125" customWidth="1"/>
    <col min="25" max="25" width="10.7265625" customWidth="1"/>
  </cols>
  <sheetData>
    <row r="1" spans="1:25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5" ht="43.5" x14ac:dyDescent="0.35">
      <c r="A2" s="11" t="s">
        <v>29</v>
      </c>
      <c r="B2" s="11" t="s">
        <v>30</v>
      </c>
      <c r="C2" s="11" t="s">
        <v>31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36</v>
      </c>
      <c r="I2" s="11" t="s">
        <v>37</v>
      </c>
      <c r="J2" s="11" t="s">
        <v>38</v>
      </c>
      <c r="K2" s="11" t="s">
        <v>39</v>
      </c>
      <c r="L2" s="11" t="s">
        <v>40</v>
      </c>
      <c r="M2" s="11" t="s">
        <v>41</v>
      </c>
      <c r="N2" s="11" t="s">
        <v>42</v>
      </c>
      <c r="O2" s="11" t="s">
        <v>43</v>
      </c>
      <c r="P2" s="11" t="s">
        <v>44</v>
      </c>
      <c r="Q2" s="11" t="s">
        <v>45</v>
      </c>
      <c r="R2" s="11" t="s">
        <v>46</v>
      </c>
      <c r="S2" s="11" t="s">
        <v>47</v>
      </c>
      <c r="T2" s="11" t="s">
        <v>48</v>
      </c>
      <c r="U2" s="11" t="s">
        <v>49</v>
      </c>
      <c r="V2" s="11" t="s">
        <v>50</v>
      </c>
      <c r="W2" s="11" t="s">
        <v>51</v>
      </c>
      <c r="X2" s="11" t="s">
        <v>52</v>
      </c>
      <c r="Y2" s="4" t="s">
        <v>65</v>
      </c>
    </row>
    <row r="3" spans="1:25" x14ac:dyDescent="0.35">
      <c r="A3" s="8" t="s">
        <v>54</v>
      </c>
      <c r="B3" s="8">
        <v>2025</v>
      </c>
      <c r="C3" s="1">
        <v>52578</v>
      </c>
      <c r="D3">
        <v>34658</v>
      </c>
      <c r="E3">
        <f>C3-D3</f>
        <v>17920</v>
      </c>
      <c r="F3">
        <v>15114</v>
      </c>
      <c r="G3">
        <f>F3+Y3</f>
        <v>17689</v>
      </c>
      <c r="H3" s="12">
        <v>10965</v>
      </c>
      <c r="I3" s="12">
        <v>44324</v>
      </c>
      <c r="J3">
        <v>10243</v>
      </c>
      <c r="K3">
        <v>11332</v>
      </c>
      <c r="L3">
        <v>17328</v>
      </c>
      <c r="M3" s="12">
        <v>91908</v>
      </c>
      <c r="N3">
        <v>22586</v>
      </c>
      <c r="O3" s="1">
        <v>2362</v>
      </c>
      <c r="P3" s="13">
        <v>72218</v>
      </c>
      <c r="Q3">
        <v>231</v>
      </c>
      <c r="R3" s="1">
        <v>52578</v>
      </c>
      <c r="S3">
        <v>13046</v>
      </c>
      <c r="U3">
        <v>6184</v>
      </c>
      <c r="V3">
        <v>239.93</v>
      </c>
      <c r="W3">
        <v>1914</v>
      </c>
      <c r="Y3">
        <v>2575</v>
      </c>
    </row>
    <row r="4" spans="1:25" x14ac:dyDescent="0.35">
      <c r="A4" s="10" t="s">
        <v>55</v>
      </c>
      <c r="B4" s="8">
        <v>2025</v>
      </c>
      <c r="C4" s="12">
        <v>32644</v>
      </c>
      <c r="D4">
        <v>22110</v>
      </c>
      <c r="E4">
        <f t="shared" ref="E4:E7" si="0">C4-D4</f>
        <v>10534</v>
      </c>
      <c r="F4">
        <v>8547</v>
      </c>
      <c r="G4">
        <f t="shared" ref="G4:G7" si="1">F4+Y4</f>
        <v>10251</v>
      </c>
      <c r="H4" s="12">
        <v>5725</v>
      </c>
      <c r="I4" s="12">
        <v>23280</v>
      </c>
      <c r="J4">
        <v>7108</v>
      </c>
      <c r="K4">
        <v>2460</v>
      </c>
      <c r="L4">
        <v>9797</v>
      </c>
      <c r="M4" s="12">
        <v>48023</v>
      </c>
      <c r="N4">
        <v>18226</v>
      </c>
      <c r="O4" s="1">
        <v>4677</v>
      </c>
      <c r="P4" s="13">
        <v>33549</v>
      </c>
      <c r="Q4">
        <v>283</v>
      </c>
      <c r="R4" s="12">
        <v>32644</v>
      </c>
      <c r="S4">
        <v>9042</v>
      </c>
      <c r="U4">
        <v>2648</v>
      </c>
      <c r="V4">
        <v>83.46</v>
      </c>
      <c r="W4">
        <v>1370</v>
      </c>
      <c r="Y4">
        <v>1704</v>
      </c>
    </row>
    <row r="5" spans="1:25" x14ac:dyDescent="0.35">
      <c r="A5" s="10" t="s">
        <v>57</v>
      </c>
      <c r="B5" s="8">
        <v>2025</v>
      </c>
      <c r="C5" s="12">
        <v>27548</v>
      </c>
      <c r="D5">
        <v>19281</v>
      </c>
      <c r="E5">
        <f t="shared" si="0"/>
        <v>8267</v>
      </c>
      <c r="F5">
        <v>7128</v>
      </c>
      <c r="G5">
        <f t="shared" si="1"/>
        <v>8235</v>
      </c>
      <c r="H5" s="12">
        <v>4269</v>
      </c>
      <c r="I5" s="12">
        <v>17828</v>
      </c>
      <c r="J5">
        <v>5642</v>
      </c>
      <c r="K5">
        <v>800</v>
      </c>
      <c r="L5">
        <v>5702</v>
      </c>
      <c r="M5" s="12">
        <v>37334</v>
      </c>
      <c r="N5" s="14">
        <v>10006</v>
      </c>
      <c r="O5" s="1">
        <v>438</v>
      </c>
      <c r="P5" s="13">
        <v>31194</v>
      </c>
      <c r="Q5">
        <v>62</v>
      </c>
      <c r="R5" s="12">
        <v>27548</v>
      </c>
      <c r="S5">
        <v>5506</v>
      </c>
      <c r="U5">
        <v>2837</v>
      </c>
      <c r="V5">
        <v>80.77</v>
      </c>
      <c r="W5">
        <v>1459</v>
      </c>
      <c r="Y5">
        <v>1107</v>
      </c>
    </row>
    <row r="6" spans="1:25" x14ac:dyDescent="0.35">
      <c r="A6" s="10" t="s">
        <v>56</v>
      </c>
      <c r="B6" s="8">
        <v>2025</v>
      </c>
      <c r="C6" s="12">
        <v>22708</v>
      </c>
      <c r="D6">
        <v>15966</v>
      </c>
      <c r="E6">
        <f t="shared" si="0"/>
        <v>6742</v>
      </c>
      <c r="F6">
        <v>5278</v>
      </c>
      <c r="G6">
        <f t="shared" si="1"/>
        <v>6447</v>
      </c>
      <c r="H6" s="12">
        <v>3306</v>
      </c>
      <c r="I6" s="12">
        <v>17596</v>
      </c>
      <c r="J6">
        <v>5476</v>
      </c>
      <c r="K6">
        <v>3142</v>
      </c>
      <c r="L6">
        <v>6327</v>
      </c>
      <c r="M6" s="12">
        <v>28978</v>
      </c>
      <c r="N6">
        <v>9719</v>
      </c>
      <c r="O6" s="1">
        <v>5448</v>
      </c>
      <c r="P6" s="13">
        <v>17203</v>
      </c>
      <c r="Q6">
        <v>295</v>
      </c>
      <c r="R6" s="12">
        <v>22708</v>
      </c>
      <c r="S6">
        <v>5497</v>
      </c>
      <c r="U6">
        <v>2958</v>
      </c>
      <c r="V6">
        <v>45.7</v>
      </c>
      <c r="W6">
        <v>2462</v>
      </c>
      <c r="Y6">
        <v>1169</v>
      </c>
    </row>
    <row r="7" spans="1:25" x14ac:dyDescent="0.35">
      <c r="A7" s="1" t="s">
        <v>4</v>
      </c>
      <c r="B7" s="8">
        <v>2025</v>
      </c>
      <c r="C7" s="12">
        <v>31724</v>
      </c>
      <c r="D7">
        <v>23067</v>
      </c>
      <c r="E7">
        <f t="shared" si="0"/>
        <v>8657</v>
      </c>
      <c r="F7">
        <v>6551</v>
      </c>
      <c r="G7">
        <f t="shared" si="1"/>
        <v>8200</v>
      </c>
      <c r="H7" s="12">
        <v>3484</v>
      </c>
      <c r="I7" s="12">
        <v>29536</v>
      </c>
      <c r="J7">
        <v>10544</v>
      </c>
      <c r="K7">
        <v>8235</v>
      </c>
      <c r="L7">
        <v>8566</v>
      </c>
      <c r="M7" s="12">
        <v>49482</v>
      </c>
      <c r="N7">
        <v>14794</v>
      </c>
      <c r="O7" s="1">
        <v>8263</v>
      </c>
      <c r="P7" s="13">
        <v>32653</v>
      </c>
      <c r="Q7">
        <v>457</v>
      </c>
      <c r="R7" s="12">
        <v>31724</v>
      </c>
      <c r="S7">
        <v>5746</v>
      </c>
      <c r="U7">
        <v>4187</v>
      </c>
      <c r="V7">
        <v>58.06</v>
      </c>
      <c r="W7">
        <v>1622</v>
      </c>
      <c r="Y7">
        <v>1649</v>
      </c>
    </row>
    <row r="8" spans="1:25" x14ac:dyDescent="0.35">
      <c r="A8" s="10"/>
      <c r="B8" s="9"/>
      <c r="M8" s="12"/>
    </row>
    <row r="9" spans="1:25" x14ac:dyDescent="0.35">
      <c r="A9" s="1"/>
    </row>
    <row r="10" spans="1:25" x14ac:dyDescent="0.35">
      <c r="A10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zoomScale="90" zoomScaleNormal="90" workbookViewId="0">
      <selection activeCell="S2" activeCellId="1" sqref="A2:A7 S2:S7"/>
    </sheetView>
  </sheetViews>
  <sheetFormatPr defaultRowHeight="14.5" x14ac:dyDescent="0.35"/>
  <cols>
    <col min="1" max="1" width="16.90625" customWidth="1"/>
    <col min="2" max="3" width="8.81640625" bestFit="1" customWidth="1"/>
    <col min="4" max="4" width="9.36328125" bestFit="1" customWidth="1"/>
    <col min="5" max="5" width="8.81640625" bestFit="1" customWidth="1"/>
    <col min="13" max="13" width="16.81640625" customWidth="1"/>
  </cols>
  <sheetData>
    <row r="1" spans="1:19" x14ac:dyDescent="0.35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66</v>
      </c>
      <c r="K1" s="8" t="s">
        <v>67</v>
      </c>
      <c r="L1" s="8" t="s">
        <v>68</v>
      </c>
      <c r="M1" s="8" t="s">
        <v>82</v>
      </c>
      <c r="N1" s="8" t="s">
        <v>83</v>
      </c>
      <c r="O1" s="8" t="s">
        <v>84</v>
      </c>
      <c r="P1" s="8" t="s">
        <v>85</v>
      </c>
      <c r="Q1" s="8" t="s">
        <v>86</v>
      </c>
      <c r="R1" s="8" t="s">
        <v>87</v>
      </c>
      <c r="S1" s="8" t="s">
        <v>88</v>
      </c>
    </row>
    <row r="2" spans="1:19" ht="43.5" x14ac:dyDescent="0.35">
      <c r="A2" s="11" t="s">
        <v>29</v>
      </c>
      <c r="B2" s="11" t="s">
        <v>58</v>
      </c>
      <c r="C2" s="11" t="s">
        <v>59</v>
      </c>
      <c r="D2" s="11" t="s">
        <v>60</v>
      </c>
      <c r="E2" s="11" t="s">
        <v>61</v>
      </c>
      <c r="F2" s="11" t="s">
        <v>62</v>
      </c>
      <c r="G2" s="11" t="s">
        <v>69</v>
      </c>
      <c r="H2" s="11" t="s">
        <v>70</v>
      </c>
      <c r="I2" s="11" t="s">
        <v>71</v>
      </c>
      <c r="J2" s="11" t="s">
        <v>72</v>
      </c>
      <c r="K2" s="11" t="s">
        <v>73</v>
      </c>
      <c r="L2" s="11" t="s">
        <v>74</v>
      </c>
      <c r="M2" s="4" t="s">
        <v>78</v>
      </c>
      <c r="N2" s="11" t="s">
        <v>75</v>
      </c>
      <c r="O2" s="11" t="s">
        <v>76</v>
      </c>
      <c r="P2" s="11" t="s">
        <v>77</v>
      </c>
      <c r="Q2" s="11" t="s">
        <v>79</v>
      </c>
      <c r="R2" s="11" t="s">
        <v>80</v>
      </c>
      <c r="S2" s="11" t="s">
        <v>81</v>
      </c>
    </row>
    <row r="3" spans="1:19" x14ac:dyDescent="0.35">
      <c r="A3" s="1" t="s">
        <v>0</v>
      </c>
      <c r="B3" s="15">
        <f>'Financial Data'!I3/'Financial Data'!L3</f>
        <v>2.5579409048938135</v>
      </c>
      <c r="C3" s="16">
        <f>'Financial Data'!O3/'Financial Data'!P3</f>
        <v>3.2706527458528346E-2</v>
      </c>
      <c r="D3" s="16">
        <f>'Financial Data'!F3/'Financial Data'!Q3</f>
        <v>65.428571428571431</v>
      </c>
      <c r="E3" s="16">
        <f>'Financial Data'!C3/'Financial Data'!M3</f>
        <v>0.57207207207207211</v>
      </c>
      <c r="G3" s="16">
        <f>'Financial Data'!E3/'Financial Data'!C3*100</f>
        <v>34.082696184716042</v>
      </c>
      <c r="H3" s="16">
        <f>'Financial Data'!F3/'Financial Data'!C3*100</f>
        <v>28.745863288828026</v>
      </c>
      <c r="I3" s="16">
        <f>'Financial Data'!G3/'Financial Data'!C3*100</f>
        <v>33.643348929209935</v>
      </c>
      <c r="J3" s="18">
        <v>0.2026</v>
      </c>
      <c r="K3" s="17">
        <f>('Financial Data'!I3-'Financial Data'!J3)/'Financial Data'!L3</f>
        <v>1.9668167128347185</v>
      </c>
      <c r="L3" s="16">
        <f>'Financial Data'!K3/'Financial Data'!L3</f>
        <v>0.65397045244690677</v>
      </c>
      <c r="M3" s="16">
        <f>'Financial Data'!D3/'Financial Data'!J3</f>
        <v>3.3835790295811772</v>
      </c>
      <c r="N3" s="16">
        <f>'Financial Data'!R3/'Financial Data'!S3</f>
        <v>4.030200827839951</v>
      </c>
      <c r="O3">
        <f>'Financial Data'!I3-'Financial Data'!L3</f>
        <v>26996</v>
      </c>
      <c r="P3" s="16">
        <f>'Financial Data'!C3/CALCULATIONS!O3</f>
        <v>1.9476218699066528</v>
      </c>
      <c r="Q3" s="16">
        <f>'Financial Data'!P3/'Financial Data'!M3</f>
        <v>0.78576402489445962</v>
      </c>
      <c r="R3" s="16">
        <f>'Financial Data'!O3/'Financial Data'!M3</f>
        <v>2.5699612656134397E-2</v>
      </c>
      <c r="S3" s="16">
        <f>'Financial Data'!C3/'Financial Data'!N3</f>
        <v>2.3279022403258658</v>
      </c>
    </row>
    <row r="4" spans="1:19" x14ac:dyDescent="0.35">
      <c r="A4" s="1" t="s">
        <v>53</v>
      </c>
      <c r="B4" s="15">
        <f>'Financial Data'!I4/'Financial Data'!L4</f>
        <v>2.3762376237623761</v>
      </c>
      <c r="C4" s="16">
        <f>'Financial Data'!O4/'Financial Data'!P4</f>
        <v>0.13940803004560492</v>
      </c>
      <c r="D4" s="16">
        <f>'Financial Data'!F4/'Financial Data'!Q4</f>
        <v>30.201413427561839</v>
      </c>
      <c r="E4" s="16">
        <f>'Financial Data'!C4/'Financial Data'!M4</f>
        <v>0.67975761614226515</v>
      </c>
      <c r="G4" s="16">
        <f>'Financial Data'!E4/'Financial Data'!C4*100</f>
        <v>32.269329739002572</v>
      </c>
      <c r="H4" s="16">
        <f>'Financial Data'!F4/'Financial Data'!C4*100</f>
        <v>26.182453130743781</v>
      </c>
      <c r="I4" s="16">
        <f>'Financial Data'!G4/'Financial Data'!C4*100</f>
        <v>31.402401666462442</v>
      </c>
      <c r="J4" s="18">
        <v>0.22359999999999999</v>
      </c>
      <c r="K4" s="17">
        <f>('Financial Data'!I4-'Financial Data'!J4)/'Financial Data'!L4</f>
        <v>1.6507094008369909</v>
      </c>
      <c r="L4" s="16">
        <f>'Financial Data'!K4/'Financial Data'!L4</f>
        <v>0.25109727467592119</v>
      </c>
      <c r="M4" s="16">
        <f>'Financial Data'!D4/'Financial Data'!J4</f>
        <v>3.1105796285875069</v>
      </c>
      <c r="N4" s="16">
        <f>'Financial Data'!R4/'Financial Data'!S4</f>
        <v>3.610263216102632</v>
      </c>
      <c r="O4">
        <f>'Financial Data'!I4-'Financial Data'!L4</f>
        <v>13483</v>
      </c>
      <c r="P4" s="16">
        <f>'Financial Data'!C4/CALCULATIONS!O4</f>
        <v>2.4211228954980344</v>
      </c>
      <c r="Q4" s="16">
        <f>'Financial Data'!P4/'Financial Data'!M4</f>
        <v>0.69860275284759388</v>
      </c>
      <c r="R4" s="16">
        <f>'Financial Data'!O4/'Financial Data'!M4</f>
        <v>9.7390833558919684E-2</v>
      </c>
      <c r="S4" s="16">
        <f>'Financial Data'!C4/'Financial Data'!N4</f>
        <v>1.791067705475694</v>
      </c>
    </row>
    <row r="5" spans="1:19" x14ac:dyDescent="0.35">
      <c r="A5" s="1" t="s">
        <v>2</v>
      </c>
      <c r="B5" s="15">
        <f>'Financial Data'!I5/'Financial Data'!L5</f>
        <v>3.1266222378112944</v>
      </c>
      <c r="C5" s="16">
        <f>'Financial Data'!O5/'Financial Data'!P5</f>
        <v>1.4041161761877283E-2</v>
      </c>
      <c r="D5" s="16">
        <f>'Financial Data'!F5/'Financial Data'!Q5</f>
        <v>114.96774193548387</v>
      </c>
      <c r="E5" s="16">
        <f>'Financial Data'!C5/'Financial Data'!M5</f>
        <v>0.73787968071998711</v>
      </c>
      <c r="G5" s="16">
        <f>'Financial Data'!E5/'Financial Data'!C5*100</f>
        <v>30.009438071729345</v>
      </c>
      <c r="H5" s="16">
        <f>'Financial Data'!F5/'Financial Data'!C5*100</f>
        <v>25.874836648758532</v>
      </c>
      <c r="I5" s="16">
        <f>'Financial Data'!G5/'Financial Data'!C5*100</f>
        <v>29.893277188906637</v>
      </c>
      <c r="J5" s="18">
        <v>0.2253</v>
      </c>
      <c r="K5" s="17">
        <f>('Financial Data'!I5-'Financial Data'!J5)/'Financial Data'!L5</f>
        <v>2.1371448614521222</v>
      </c>
      <c r="L5" s="16">
        <f>'Financial Data'!K5/'Financial Data'!L5</f>
        <v>0.14030164854437038</v>
      </c>
      <c r="M5" s="16">
        <f>'Financial Data'!D5/'Financial Data'!J5</f>
        <v>3.4174051754696917</v>
      </c>
      <c r="N5" s="16">
        <f>'Financial Data'!R5/'Financial Data'!S5</f>
        <v>5.003269160915365</v>
      </c>
      <c r="O5">
        <f>'Financial Data'!I5-'Financial Data'!L5</f>
        <v>12126</v>
      </c>
      <c r="P5" s="16">
        <f>'Financial Data'!C5/CALCULATIONS!O5</f>
        <v>2.2718126340095663</v>
      </c>
      <c r="Q5" s="16">
        <f>'Financial Data'!P5/'Financial Data'!M5</f>
        <v>0.83553865109551617</v>
      </c>
      <c r="R5" s="16">
        <f>'Financial Data'!O5/'Financial Data'!M5</f>
        <v>1.1731933358332888E-2</v>
      </c>
      <c r="S5" s="16">
        <f>'Financial Data'!C5/'Financial Data'!N5</f>
        <v>2.7531481111333198</v>
      </c>
    </row>
    <row r="6" spans="1:19" x14ac:dyDescent="0.35">
      <c r="A6" s="1" t="s">
        <v>3</v>
      </c>
      <c r="B6" s="15">
        <f>'Financial Data'!I6/'Financial Data'!L6</f>
        <v>2.7810968863600443</v>
      </c>
      <c r="C6" s="16">
        <f>'Financial Data'!O6/'Financial Data'!P6</f>
        <v>0.31668894960181365</v>
      </c>
      <c r="D6" s="16">
        <f>'Financial Data'!F6/'Financial Data'!Q6</f>
        <v>17.891525423728815</v>
      </c>
      <c r="E6" s="16">
        <f>'Financial Data'!C6/'Financial Data'!M6</f>
        <v>0.78362895990061421</v>
      </c>
      <c r="G6" s="16">
        <f>'Financial Data'!E6/'Financial Data'!C6*100</f>
        <v>29.689977100581295</v>
      </c>
      <c r="H6" s="16">
        <f>'Financial Data'!F6/'Financial Data'!C6*100</f>
        <v>23.242909987669545</v>
      </c>
      <c r="I6" s="16">
        <f>'Financial Data'!G6/'Financial Data'!C6*100</f>
        <v>28.390875462392106</v>
      </c>
      <c r="J6" s="18">
        <v>0.23300000000000001</v>
      </c>
      <c r="K6" s="17">
        <f>('Financial Data'!I6-'Financial Data'!J6)/'Financial Data'!L6</f>
        <v>1.9155998103366525</v>
      </c>
      <c r="L6" s="16">
        <f>'Financial Data'!K6/'Financial Data'!L6</f>
        <v>0.49660186502291764</v>
      </c>
      <c r="M6" s="16">
        <f>'Financial Data'!D6/'Financial Data'!J6</f>
        <v>2.9156318480642804</v>
      </c>
      <c r="N6" s="16">
        <f>'Financial Data'!R6/'Financial Data'!S6</f>
        <v>4.1309805348371835</v>
      </c>
      <c r="O6">
        <f>'Financial Data'!I6-'Financial Data'!L6</f>
        <v>11269</v>
      </c>
      <c r="P6" s="16">
        <f>'Financial Data'!C6/CALCULATIONS!O6</f>
        <v>2.0150856331528972</v>
      </c>
      <c r="Q6" s="16">
        <f>'Financial Data'!P6/'Financial Data'!M6</f>
        <v>0.59365725722962248</v>
      </c>
      <c r="R6" s="16">
        <f>'Financial Data'!O6/'Financial Data'!M6</f>
        <v>0.18800469321554283</v>
      </c>
      <c r="S6" s="16">
        <f>'Financial Data'!C6/'Financial Data'!N6</f>
        <v>2.3364543677333058</v>
      </c>
    </row>
    <row r="7" spans="1:19" x14ac:dyDescent="0.35">
      <c r="A7" s="1" t="s">
        <v>4</v>
      </c>
      <c r="B7" s="15">
        <f>'Financial Data'!I7/'Financial Data'!L7</f>
        <v>3.4480504319402288</v>
      </c>
      <c r="C7" s="16">
        <f>'Financial Data'!O7/'Financial Data'!P7</f>
        <v>0.25305484947784279</v>
      </c>
      <c r="D7" s="16">
        <f>'Financial Data'!F7/'Financial Data'!Q7</f>
        <v>14.334792122538293</v>
      </c>
      <c r="E7" s="16">
        <f>'Financial Data'!C7/'Financial Data'!M7</f>
        <v>0.64112202417040542</v>
      </c>
      <c r="G7" s="16">
        <f>'Financial Data'!E7/'Financial Data'!C7*100</f>
        <v>27.288488210818308</v>
      </c>
      <c r="H7" s="16">
        <f>'Financial Data'!F7/'Financial Data'!C7*100</f>
        <v>20.649981086874291</v>
      </c>
      <c r="I7" s="16">
        <f>'Financial Data'!G7/'Financial Data'!C7*100</f>
        <v>25.847938469297695</v>
      </c>
      <c r="J7" s="18">
        <v>0.16009999999999999</v>
      </c>
      <c r="K7" s="17">
        <f>('Financial Data'!I7-'Financial Data'!J7)/'Financial Data'!L7</f>
        <v>2.2171375204296053</v>
      </c>
      <c r="L7" s="16">
        <f>'Financial Data'!K7/'Financial Data'!L7</f>
        <v>0.96135886061172071</v>
      </c>
      <c r="M7" s="16">
        <f>'Financial Data'!D7/'Financial Data'!J7</f>
        <v>2.1876896813353568</v>
      </c>
      <c r="N7" s="16">
        <f>'Financial Data'!R7/'Financial Data'!S7</f>
        <v>5.5210581273929691</v>
      </c>
      <c r="O7">
        <f>'Financial Data'!I7-'Financial Data'!L7</f>
        <v>20970</v>
      </c>
      <c r="P7" s="16">
        <f>'Financial Data'!C7/CALCULATIONS!O7</f>
        <v>1.5128278493085361</v>
      </c>
      <c r="Q7" s="16">
        <f>'Financial Data'!P7/'Financial Data'!M7</f>
        <v>0.65989652803039489</v>
      </c>
      <c r="R7" s="16">
        <f>'Financial Data'!O7/'Financial Data'!M7</f>
        <v>0.16699001657168264</v>
      </c>
      <c r="S7" s="16">
        <f>'Financial Data'!C7/'Financial Data'!N7</f>
        <v>2.144382857915371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Financial Data</vt:lpstr>
      <vt:lpstr>CALCULATIONS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2026-06-23T06:41:45Z</dcterms:created>
  <dcterms:modified xsi:type="dcterms:W3CDTF">2026-07-06T08:22:13Z</dcterms:modified>
</cp:coreProperties>
</file>